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果园位置信息、销售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<sst xmlns="http://schemas.openxmlformats.org/spreadsheetml/2006/main" count="111" uniqueCount="26">
  <si>
    <t>果园</t>
  </si>
  <si>
    <t>经度</t>
  </si>
  <si>
    <t>纬度</t>
  </si>
  <si>
    <t>占比</t>
  </si>
  <si>
    <t>6月（箱）</t>
  </si>
  <si>
    <t>7月（箱）</t>
  </si>
  <si>
    <t>8月（箱）</t>
  </si>
  <si>
    <t>合计（箱）</t>
  </si>
  <si>
    <t>周四（箱）</t>
  </si>
  <si>
    <t>周五（箱）</t>
  </si>
  <si>
    <t>周六（箱）</t>
  </si>
  <si>
    <t>周日（箱）</t>
  </si>
  <si>
    <t>周一（箱）</t>
  </si>
  <si>
    <t>周二（箱）</t>
  </si>
  <si>
    <t>周三（箱）</t>
  </si>
  <si>
    <t>雪堰镇</t>
  </si>
  <si>
    <t>A</t>
  </si>
  <si>
    <t>薛埠镇</t>
  </si>
  <si>
    <t>B</t>
  </si>
  <si>
    <t>阳山镇</t>
  </si>
  <si>
    <t>C</t>
  </si>
  <si>
    <t>洛阳镇</t>
  </si>
  <si>
    <t>D</t>
  </si>
  <si>
    <t>潘家镇</t>
  </si>
  <si>
    <t>E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</si>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</sst>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/m/d;@"/>
  </numFmts>
  <fonts count="23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7" fontId="2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8"/>
  <sheetViews>
    <sheetView tabSelected="1" topLeftCell="CD1" workbookViewId="0">
      <selection activeCell="A3" sqref="A3:CV6"/>
    </sheetView>
  </sheetViews>
  <sheetFormatPr defaultColWidth="9" defaultRowHeight="14" outlineLevelRow="7"/>
  <sheetData>
    <row r="1" spans="1:101">
      <c r="A1" s="1"/>
      <c r="B1" s="2" t="s">
        <v>0</v>
      </c>
      <c r="C1" s="3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6">
        <v>45078</v>
      </c>
      <c r="K1" s="6">
        <v>45079</v>
      </c>
      <c r="L1" s="6">
        <v>45080</v>
      </c>
      <c r="M1" s="6">
        <v>45081</v>
      </c>
      <c r="N1" s="6">
        <v>45082</v>
      </c>
      <c r="O1" s="6">
        <v>45083</v>
      </c>
      <c r="P1" s="6">
        <v>45084</v>
      </c>
      <c r="Q1" s="6">
        <v>45085</v>
      </c>
      <c r="R1" s="6">
        <v>45086</v>
      </c>
      <c r="S1" s="6">
        <v>45087</v>
      </c>
      <c r="T1" s="6">
        <v>45088</v>
      </c>
      <c r="U1" s="6">
        <v>45089</v>
      </c>
      <c r="V1" s="6">
        <v>45090</v>
      </c>
      <c r="W1" s="6">
        <v>45091</v>
      </c>
      <c r="X1" s="6">
        <v>45092</v>
      </c>
      <c r="Y1" s="6">
        <v>45093</v>
      </c>
      <c r="Z1" s="6">
        <v>45094</v>
      </c>
      <c r="AA1" s="6">
        <v>45095</v>
      </c>
      <c r="AB1" s="6">
        <v>45096</v>
      </c>
      <c r="AC1" s="6">
        <v>45097</v>
      </c>
      <c r="AD1" s="6">
        <v>45098</v>
      </c>
      <c r="AE1" s="6">
        <v>45099</v>
      </c>
      <c r="AF1" s="6">
        <v>45100</v>
      </c>
      <c r="AG1" s="6">
        <v>45101</v>
      </c>
      <c r="AH1" s="6">
        <v>45102</v>
      </c>
      <c r="AI1" s="6">
        <v>45103</v>
      </c>
      <c r="AJ1" s="6">
        <v>45104</v>
      </c>
      <c r="AK1" s="6">
        <v>45105</v>
      </c>
      <c r="AL1" s="6">
        <v>45106</v>
      </c>
      <c r="AM1" s="6">
        <v>45107</v>
      </c>
      <c r="AN1" s="6">
        <v>45108</v>
      </c>
      <c r="AO1" s="6">
        <v>45109</v>
      </c>
      <c r="AP1" s="6">
        <v>45110</v>
      </c>
      <c r="AQ1" s="6">
        <v>45111</v>
      </c>
      <c r="AR1" s="6">
        <v>45112</v>
      </c>
      <c r="AS1" s="6">
        <v>45113</v>
      </c>
      <c r="AT1" s="6">
        <v>45114</v>
      </c>
      <c r="AU1" s="6">
        <v>45115</v>
      </c>
      <c r="AV1" s="6">
        <v>45116</v>
      </c>
      <c r="AW1" s="6">
        <v>45117</v>
      </c>
      <c r="AX1" s="6">
        <v>45118</v>
      </c>
      <c r="AY1" s="6">
        <v>45119</v>
      </c>
      <c r="AZ1" s="6">
        <v>45120</v>
      </c>
      <c r="BA1" s="6">
        <v>45121</v>
      </c>
      <c r="BB1" s="6">
        <v>45122</v>
      </c>
      <c r="BC1" s="6">
        <v>45123</v>
      </c>
      <c r="BD1" s="6">
        <v>45124</v>
      </c>
      <c r="BE1" s="6">
        <v>45125</v>
      </c>
      <c r="BF1" s="6">
        <v>45126</v>
      </c>
      <c r="BG1" s="6">
        <v>45127</v>
      </c>
      <c r="BH1" s="6">
        <v>45128</v>
      </c>
      <c r="BI1" s="6">
        <v>45129</v>
      </c>
      <c r="BJ1" s="6">
        <v>45130</v>
      </c>
      <c r="BK1" s="6">
        <v>45131</v>
      </c>
      <c r="BL1" s="6">
        <v>45132</v>
      </c>
      <c r="BM1" s="6">
        <v>45133</v>
      </c>
      <c r="BN1" s="6">
        <v>45134</v>
      </c>
      <c r="BO1" s="6">
        <v>45135</v>
      </c>
      <c r="BP1" s="6">
        <v>45136</v>
      </c>
      <c r="BQ1" s="6">
        <v>45137</v>
      </c>
      <c r="BR1" s="6">
        <v>45138</v>
      </c>
      <c r="BS1" s="6">
        <v>45139</v>
      </c>
      <c r="BT1" s="6">
        <v>45140</v>
      </c>
      <c r="BU1" s="6">
        <v>45141</v>
      </c>
      <c r="BV1" s="6">
        <v>45142</v>
      </c>
      <c r="BW1" s="6">
        <v>45143</v>
      </c>
      <c r="BX1" s="6">
        <v>45144</v>
      </c>
      <c r="BY1" s="6">
        <v>45145</v>
      </c>
      <c r="BZ1" s="6">
        <v>45146</v>
      </c>
      <c r="CA1" s="6">
        <v>45147</v>
      </c>
      <c r="CB1" s="6">
        <v>45148</v>
      </c>
      <c r="CC1" s="6">
        <v>45149</v>
      </c>
      <c r="CD1" s="6">
        <v>45150</v>
      </c>
      <c r="CE1" s="6">
        <v>45151</v>
      </c>
      <c r="CF1" s="6">
        <v>45152</v>
      </c>
      <c r="CG1" s="6">
        <v>45153</v>
      </c>
      <c r="CH1" s="6">
        <v>45154</v>
      </c>
      <c r="CI1" s="6">
        <v>45155</v>
      </c>
      <c r="CJ1" s="6">
        <v>45156</v>
      </c>
      <c r="CK1" s="6">
        <v>45157</v>
      </c>
      <c r="CL1" s="6">
        <v>45158</v>
      </c>
      <c r="CM1" s="6">
        <v>45159</v>
      </c>
      <c r="CN1" s="6">
        <v>45160</v>
      </c>
      <c r="CO1" s="6">
        <v>45161</v>
      </c>
      <c r="CP1" s="6">
        <v>45162</v>
      </c>
      <c r="CQ1" s="6">
        <v>45163</v>
      </c>
      <c r="CR1" s="6">
        <v>45164</v>
      </c>
      <c r="CS1" s="6">
        <v>45165</v>
      </c>
      <c r="CT1" s="6">
        <v>45166</v>
      </c>
      <c r="CU1" s="6">
        <v>45167</v>
      </c>
      <c r="CV1" s="6">
        <v>45168</v>
      </c>
      <c r="CW1" s="6">
        <v>45169</v>
      </c>
    </row>
    <row r="2" spans="1:101">
      <c r="A2" s="1"/>
      <c r="B2" s="2"/>
      <c r="C2" s="3"/>
      <c r="D2" s="3"/>
      <c r="E2" s="2"/>
      <c r="F2" s="2"/>
      <c r="G2" s="2"/>
      <c r="H2" s="2"/>
      <c r="I2" s="2"/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8</v>
      </c>
      <c r="R2" s="6" t="s">
        <v>9</v>
      </c>
      <c r="S2" s="6" t="s">
        <v>10</v>
      </c>
      <c r="T2" s="6" t="s">
        <v>11</v>
      </c>
      <c r="U2" s="6" t="s">
        <v>12</v>
      </c>
      <c r="V2" s="6" t="s">
        <v>13</v>
      </c>
      <c r="W2" s="6" t="s">
        <v>14</v>
      </c>
      <c r="X2" s="6" t="s">
        <v>8</v>
      </c>
      <c r="Y2" s="6" t="s">
        <v>9</v>
      </c>
      <c r="Z2" s="6" t="s">
        <v>10</v>
      </c>
      <c r="AA2" s="6" t="s">
        <v>11</v>
      </c>
      <c r="AB2" s="6" t="s">
        <v>12</v>
      </c>
      <c r="AC2" s="6" t="s">
        <v>13</v>
      </c>
      <c r="AD2" s="6" t="s">
        <v>14</v>
      </c>
      <c r="AE2" s="6" t="s">
        <v>8</v>
      </c>
      <c r="AF2" s="6" t="s">
        <v>9</v>
      </c>
      <c r="AG2" s="6" t="s">
        <v>10</v>
      </c>
      <c r="AH2" s="6" t="s">
        <v>11</v>
      </c>
      <c r="AI2" s="6" t="s">
        <v>12</v>
      </c>
      <c r="AJ2" s="6" t="s">
        <v>13</v>
      </c>
      <c r="AK2" s="6" t="s">
        <v>14</v>
      </c>
      <c r="AL2" s="6" t="s">
        <v>8</v>
      </c>
      <c r="AM2" s="6" t="s">
        <v>9</v>
      </c>
      <c r="AN2" s="6" t="s">
        <v>10</v>
      </c>
      <c r="AO2" s="6" t="s">
        <v>11</v>
      </c>
      <c r="AP2" s="6" t="s">
        <v>12</v>
      </c>
      <c r="AQ2" s="6" t="s">
        <v>13</v>
      </c>
      <c r="AR2" s="6" t="s">
        <v>14</v>
      </c>
      <c r="AS2" s="6" t="s">
        <v>8</v>
      </c>
      <c r="AT2" s="6" t="s">
        <v>9</v>
      </c>
      <c r="AU2" s="6" t="s">
        <v>10</v>
      </c>
      <c r="AV2" s="6" t="s">
        <v>11</v>
      </c>
      <c r="AW2" s="6" t="s">
        <v>12</v>
      </c>
      <c r="AX2" s="6" t="s">
        <v>13</v>
      </c>
      <c r="AY2" s="6" t="s">
        <v>14</v>
      </c>
      <c r="AZ2" s="6" t="s">
        <v>8</v>
      </c>
      <c r="BA2" s="6" t="s">
        <v>9</v>
      </c>
      <c r="BB2" s="6" t="s">
        <v>10</v>
      </c>
      <c r="BC2" s="6" t="s">
        <v>11</v>
      </c>
      <c r="BD2" s="6" t="s">
        <v>12</v>
      </c>
      <c r="BE2" s="6" t="s">
        <v>13</v>
      </c>
      <c r="BF2" s="6" t="s">
        <v>14</v>
      </c>
      <c r="BG2" s="6" t="s">
        <v>8</v>
      </c>
      <c r="BH2" s="6" t="s">
        <v>9</v>
      </c>
      <c r="BI2" s="6" t="s">
        <v>10</v>
      </c>
      <c r="BJ2" s="6" t="s">
        <v>11</v>
      </c>
      <c r="BK2" s="6" t="s">
        <v>12</v>
      </c>
      <c r="BL2" s="6" t="s">
        <v>13</v>
      </c>
      <c r="BM2" s="6" t="s">
        <v>14</v>
      </c>
      <c r="BN2" s="6" t="s">
        <v>8</v>
      </c>
      <c r="BO2" s="6" t="s">
        <v>9</v>
      </c>
      <c r="BP2" s="6" t="s">
        <v>10</v>
      </c>
      <c r="BQ2" s="6" t="s">
        <v>11</v>
      </c>
      <c r="BR2" s="6" t="s">
        <v>12</v>
      </c>
      <c r="BS2" s="6" t="s">
        <v>13</v>
      </c>
      <c r="BT2" s="6" t="s">
        <v>14</v>
      </c>
      <c r="BU2" s="6" t="s">
        <v>8</v>
      </c>
      <c r="BV2" s="6" t="s">
        <v>9</v>
      </c>
      <c r="BW2" s="6" t="s">
        <v>10</v>
      </c>
      <c r="BX2" s="6" t="s">
        <v>11</v>
      </c>
      <c r="BY2" s="6" t="s">
        <v>12</v>
      </c>
      <c r="BZ2" s="6" t="s">
        <v>13</v>
      </c>
      <c r="CA2" s="6" t="s">
        <v>14</v>
      </c>
      <c r="CB2" s="6" t="s">
        <v>8</v>
      </c>
      <c r="CC2" s="6" t="s">
        <v>9</v>
      </c>
      <c r="CD2" s="6" t="s">
        <v>10</v>
      </c>
      <c r="CE2" s="6" t="s">
        <v>11</v>
      </c>
      <c r="CF2" s="6" t="s">
        <v>12</v>
      </c>
      <c r="CG2" s="6" t="s">
        <v>13</v>
      </c>
      <c r="CH2" s="6" t="s">
        <v>14</v>
      </c>
      <c r="CI2" s="6" t="s">
        <v>8</v>
      </c>
      <c r="CJ2" s="6" t="s">
        <v>9</v>
      </c>
      <c r="CK2" s="6" t="s">
        <v>10</v>
      </c>
      <c r="CL2" s="6" t="s">
        <v>11</v>
      </c>
      <c r="CM2" s="6" t="s">
        <v>12</v>
      </c>
      <c r="CN2" s="6" t="s">
        <v>13</v>
      </c>
      <c r="CO2" s="6" t="s">
        <v>14</v>
      </c>
      <c r="CP2" s="6" t="s">
        <v>8</v>
      </c>
      <c r="CQ2" s="6" t="s">
        <v>9</v>
      </c>
      <c r="CR2" s="6" t="s">
        <v>10</v>
      </c>
      <c r="CS2" s="6" t="s">
        <v>11</v>
      </c>
      <c r="CT2" s="6" t="s">
        <v>12</v>
      </c>
      <c r="CU2" s="6" t="s">
        <v>13</v>
      </c>
      <c r="CV2" s="6" t="s">
        <v>14</v>
      </c>
      <c r="CW2" s="6" t="s">
        <v>8</v>
      </c>
    </row>
    <row r="3" spans="1:101">
      <c r="A3" s="1" t="s">
        <v>15</v>
      </c>
      <c r="B3" s="1" t="s">
        <v>16</v>
      </c>
      <c r="C3" s="1">
        <v>120.095857</v>
      </c>
      <c r="D3" s="1">
        <v>31.507591</v>
      </c>
      <c r="E3" s="4">
        <v>0.15</v>
      </c>
      <c r="F3" s="5">
        <v>123311</v>
      </c>
      <c r="G3" s="5">
        <v>267901</v>
      </c>
      <c r="H3" s="5">
        <v>97704</v>
      </c>
      <c r="I3" s="5">
        <v>488917</v>
      </c>
      <c r="J3" s="5">
        <v>1238</v>
      </c>
      <c r="K3" s="5">
        <v>1202</v>
      </c>
      <c r="L3" s="5">
        <v>10484</v>
      </c>
      <c r="M3" s="5">
        <v>4463</v>
      </c>
      <c r="N3" s="5">
        <v>3973</v>
      </c>
      <c r="O3" s="5">
        <v>4398</v>
      </c>
      <c r="P3" s="5">
        <v>2720</v>
      </c>
      <c r="Q3" s="5">
        <v>2146</v>
      </c>
      <c r="R3" s="5">
        <v>1480</v>
      </c>
      <c r="S3" s="5">
        <v>1337</v>
      </c>
      <c r="T3" s="5">
        <v>1843</v>
      </c>
      <c r="U3" s="5">
        <v>3346</v>
      </c>
      <c r="V3" s="5">
        <v>2822</v>
      </c>
      <c r="W3" s="5">
        <v>2707</v>
      </c>
      <c r="X3" s="5">
        <v>5749</v>
      </c>
      <c r="Y3" s="5">
        <v>4354</v>
      </c>
      <c r="Z3" s="5">
        <v>6312</v>
      </c>
      <c r="AA3" s="5">
        <v>5959</v>
      </c>
      <c r="AB3" s="5">
        <v>6385</v>
      </c>
      <c r="AC3" s="5">
        <v>5278</v>
      </c>
      <c r="AD3" s="5">
        <v>4885</v>
      </c>
      <c r="AE3" s="5">
        <v>5597</v>
      </c>
      <c r="AF3" s="5">
        <v>3678</v>
      </c>
      <c r="AG3" s="5">
        <v>2820</v>
      </c>
      <c r="AH3" s="5">
        <v>4208</v>
      </c>
      <c r="AI3" s="5">
        <v>4445</v>
      </c>
      <c r="AJ3" s="5">
        <v>3365</v>
      </c>
      <c r="AK3" s="5">
        <v>4516</v>
      </c>
      <c r="AL3" s="5">
        <v>6077</v>
      </c>
      <c r="AM3" s="5">
        <v>5511</v>
      </c>
      <c r="AN3" s="5">
        <v>5754.87</v>
      </c>
      <c r="AO3" s="5">
        <v>4943.07</v>
      </c>
      <c r="AP3" s="5">
        <v>5189.58</v>
      </c>
      <c r="AQ3" s="5">
        <v>5976.63</v>
      </c>
      <c r="AR3" s="5">
        <v>6266.7</v>
      </c>
      <c r="AS3" s="5">
        <v>5698.44</v>
      </c>
      <c r="AT3" s="5">
        <v>5541.03</v>
      </c>
      <c r="AU3" s="5">
        <v>5829.78</v>
      </c>
      <c r="AV3" s="5">
        <v>11267.52</v>
      </c>
      <c r="AW3" s="5">
        <v>10111.2</v>
      </c>
      <c r="AX3" s="5">
        <v>9437.67</v>
      </c>
      <c r="AY3" s="5">
        <v>11632.5</v>
      </c>
      <c r="AZ3" s="5">
        <v>11595.87</v>
      </c>
      <c r="BA3" s="5">
        <v>9762.39</v>
      </c>
      <c r="BB3" s="5">
        <v>9818.16</v>
      </c>
      <c r="BC3" s="5">
        <v>10655.37</v>
      </c>
      <c r="BD3" s="5">
        <v>9150.57</v>
      </c>
      <c r="BE3" s="5">
        <v>10473.21</v>
      </c>
      <c r="BF3" s="5">
        <v>9388.17</v>
      </c>
      <c r="BG3" s="5">
        <v>11283.36</v>
      </c>
      <c r="BH3" s="5">
        <v>9777.57</v>
      </c>
      <c r="BI3" s="5">
        <v>7818.03</v>
      </c>
      <c r="BJ3" s="5">
        <v>8457.57</v>
      </c>
      <c r="BK3" s="5">
        <v>14571.15</v>
      </c>
      <c r="BL3" s="5">
        <v>11924.22</v>
      </c>
      <c r="BM3" s="5">
        <v>7402.56</v>
      </c>
      <c r="BN3" s="5">
        <v>9572.97</v>
      </c>
      <c r="BO3" s="5">
        <v>6021.84</v>
      </c>
      <c r="BP3" s="5">
        <v>6145.59</v>
      </c>
      <c r="BQ3" s="5">
        <v>5781.6</v>
      </c>
      <c r="BR3" s="5">
        <v>10652.4</v>
      </c>
      <c r="BS3" s="5">
        <v>8020.65</v>
      </c>
      <c r="BT3" s="5">
        <v>7956.3</v>
      </c>
      <c r="BU3" s="5">
        <v>6142.95</v>
      </c>
      <c r="BV3" s="5">
        <v>3641.55</v>
      </c>
      <c r="BW3" s="5">
        <v>4117.74</v>
      </c>
      <c r="BX3" s="5">
        <v>4568.85</v>
      </c>
      <c r="BY3" s="5">
        <v>5568.09</v>
      </c>
      <c r="BZ3" s="5">
        <v>4693.26</v>
      </c>
      <c r="CA3" s="5">
        <v>4088.7</v>
      </c>
      <c r="CB3" s="5">
        <v>4152.39</v>
      </c>
      <c r="CC3" s="5">
        <v>4256.34</v>
      </c>
      <c r="CD3" s="5">
        <v>4581.39</v>
      </c>
      <c r="CE3" s="5">
        <v>5280</v>
      </c>
      <c r="CF3" s="5">
        <v>2955.15</v>
      </c>
      <c r="CG3" s="5">
        <v>2575.32</v>
      </c>
      <c r="CH3" s="5">
        <v>3023.46</v>
      </c>
      <c r="CI3" s="5">
        <v>2557.17</v>
      </c>
      <c r="CJ3" s="5">
        <v>3023.46</v>
      </c>
      <c r="CK3" s="5">
        <v>2156.22</v>
      </c>
      <c r="CL3" s="5">
        <v>2295.81</v>
      </c>
      <c r="CM3" s="5">
        <v>2058.21</v>
      </c>
      <c r="CN3" s="5">
        <v>2031.48</v>
      </c>
      <c r="CO3" s="5">
        <v>1737.45</v>
      </c>
      <c r="CP3" s="5">
        <v>1704.78</v>
      </c>
      <c r="CQ3" s="5">
        <v>537.57</v>
      </c>
      <c r="CR3" s="5">
        <v>1149.39</v>
      </c>
      <c r="CS3" s="5">
        <v>576.18</v>
      </c>
      <c r="CT3" s="5">
        <v>409.86</v>
      </c>
      <c r="CU3" s="5">
        <v>721.71</v>
      </c>
      <c r="CV3" s="5">
        <v>596.97</v>
      </c>
      <c r="CW3" s="5">
        <v>525.69</v>
      </c>
    </row>
    <row r="4" spans="1:101">
      <c r="A4" s="1" t="s">
        <v>17</v>
      </c>
      <c r="B4" s="1" t="s">
        <v>18</v>
      </c>
      <c r="C4" s="1">
        <v>119.382381</v>
      </c>
      <c r="D4" s="1">
        <v>31.717564</v>
      </c>
      <c r="E4" s="4">
        <v>0.35</v>
      </c>
      <c r="F4" s="5">
        <v>287726</v>
      </c>
      <c r="G4" s="5">
        <v>625103</v>
      </c>
      <c r="H4" s="5">
        <v>227976</v>
      </c>
      <c r="I4" s="5">
        <v>1140806</v>
      </c>
      <c r="J4" s="5">
        <v>2889</v>
      </c>
      <c r="K4" s="5">
        <v>2806</v>
      </c>
      <c r="L4" s="5">
        <v>24462</v>
      </c>
      <c r="M4" s="5">
        <v>10415</v>
      </c>
      <c r="N4" s="5">
        <v>9272</v>
      </c>
      <c r="O4" s="5">
        <v>10263</v>
      </c>
      <c r="P4" s="5">
        <v>6347</v>
      </c>
      <c r="Q4" s="5">
        <v>5009</v>
      </c>
      <c r="R4" s="5">
        <v>3453</v>
      </c>
      <c r="S4" s="5">
        <v>3120</v>
      </c>
      <c r="T4" s="5">
        <v>4301</v>
      </c>
      <c r="U4" s="5">
        <v>7809</v>
      </c>
      <c r="V4" s="5">
        <v>6585</v>
      </c>
      <c r="W4" s="5">
        <v>6317</v>
      </c>
      <c r="X4" s="5">
        <v>13414</v>
      </c>
      <c r="Y4" s="5">
        <v>10159</v>
      </c>
      <c r="Z4" s="5">
        <v>14728</v>
      </c>
      <c r="AA4" s="5">
        <v>13904</v>
      </c>
      <c r="AB4" s="5">
        <v>14899</v>
      </c>
      <c r="AC4" s="5">
        <v>12316</v>
      </c>
      <c r="AD4" s="5">
        <v>11399</v>
      </c>
      <c r="AE4" s="5">
        <v>13061</v>
      </c>
      <c r="AF4" s="5">
        <v>8582</v>
      </c>
      <c r="AG4" s="5">
        <v>6581</v>
      </c>
      <c r="AH4" s="5">
        <v>9820</v>
      </c>
      <c r="AI4" s="5">
        <v>10372</v>
      </c>
      <c r="AJ4" s="5">
        <v>7851</v>
      </c>
      <c r="AK4" s="5">
        <v>10537</v>
      </c>
      <c r="AL4" s="5">
        <v>14181</v>
      </c>
      <c r="AM4" s="5">
        <v>12860</v>
      </c>
      <c r="AN4" s="5">
        <v>13428.03</v>
      </c>
      <c r="AO4" s="5">
        <v>11533.83</v>
      </c>
      <c r="AP4" s="5">
        <v>12109.02</v>
      </c>
      <c r="AQ4" s="5">
        <v>13945.47</v>
      </c>
      <c r="AR4" s="5">
        <v>14622.3</v>
      </c>
      <c r="AS4" s="5">
        <v>13296.36</v>
      </c>
      <c r="AT4" s="5">
        <v>12929.07</v>
      </c>
      <c r="AU4" s="5">
        <v>13602.82</v>
      </c>
      <c r="AV4" s="5">
        <v>26290.88</v>
      </c>
      <c r="AW4" s="5">
        <v>23592.8</v>
      </c>
      <c r="AX4" s="5">
        <v>22021.23</v>
      </c>
      <c r="AY4" s="5">
        <v>27142.5</v>
      </c>
      <c r="AZ4" s="5">
        <v>27057.03</v>
      </c>
      <c r="BA4" s="5">
        <v>22778.91</v>
      </c>
      <c r="BB4" s="5">
        <v>22909.04</v>
      </c>
      <c r="BC4" s="5">
        <v>24862.53</v>
      </c>
      <c r="BD4" s="5">
        <v>21351.33</v>
      </c>
      <c r="BE4" s="5">
        <v>24437.49</v>
      </c>
      <c r="BF4" s="5">
        <v>21905.73</v>
      </c>
      <c r="BG4" s="5">
        <v>26327.84</v>
      </c>
      <c r="BH4" s="5">
        <v>22814.33</v>
      </c>
      <c r="BI4" s="5">
        <v>18242.07</v>
      </c>
      <c r="BJ4" s="5">
        <v>19734.33</v>
      </c>
      <c r="BK4" s="5">
        <v>33999.35</v>
      </c>
      <c r="BL4" s="5">
        <v>27823.18</v>
      </c>
      <c r="BM4" s="5">
        <v>17272.64</v>
      </c>
      <c r="BN4" s="5">
        <v>22336.93</v>
      </c>
      <c r="BO4" s="5">
        <v>14050.96</v>
      </c>
      <c r="BP4" s="5">
        <v>14339.71</v>
      </c>
      <c r="BQ4" s="5">
        <v>13490.4</v>
      </c>
      <c r="BR4" s="5">
        <v>24855.6</v>
      </c>
      <c r="BS4" s="5">
        <v>18714.85</v>
      </c>
      <c r="BT4" s="5">
        <v>18564.7</v>
      </c>
      <c r="BU4" s="5">
        <v>14333.55</v>
      </c>
      <c r="BV4" s="5">
        <v>8496.95</v>
      </c>
      <c r="BW4" s="5">
        <v>9608.06</v>
      </c>
      <c r="BX4" s="5">
        <v>10660.65</v>
      </c>
      <c r="BY4" s="5">
        <v>12992.21</v>
      </c>
      <c r="BZ4" s="5">
        <v>10950.94</v>
      </c>
      <c r="CA4" s="5">
        <v>9540.3</v>
      </c>
      <c r="CB4" s="5">
        <v>9688.91</v>
      </c>
      <c r="CC4" s="5">
        <v>9931.46</v>
      </c>
      <c r="CD4" s="5">
        <v>10689.91</v>
      </c>
      <c r="CE4" s="5">
        <v>12320</v>
      </c>
      <c r="CF4" s="5">
        <v>6895.35</v>
      </c>
      <c r="CG4" s="5">
        <v>6009.08</v>
      </c>
      <c r="CH4" s="5">
        <v>7054.74</v>
      </c>
      <c r="CI4" s="5">
        <v>5966.73</v>
      </c>
      <c r="CJ4" s="5">
        <v>7054.74</v>
      </c>
      <c r="CK4" s="5">
        <v>5031.18</v>
      </c>
      <c r="CL4" s="5">
        <v>5356.89</v>
      </c>
      <c r="CM4" s="5">
        <v>4802.49</v>
      </c>
      <c r="CN4" s="5">
        <v>4740.12</v>
      </c>
      <c r="CO4" s="5">
        <v>4054.05</v>
      </c>
      <c r="CP4" s="5">
        <v>3977.82</v>
      </c>
      <c r="CQ4" s="5">
        <v>1254.33</v>
      </c>
      <c r="CR4" s="5">
        <v>2681.91</v>
      </c>
      <c r="CS4" s="5">
        <v>1344.42</v>
      </c>
      <c r="CT4" s="5">
        <v>956.34</v>
      </c>
      <c r="CU4" s="5">
        <v>1683.99</v>
      </c>
      <c r="CV4" s="5">
        <v>1392.93</v>
      </c>
      <c r="CW4" s="5">
        <v>1226.61</v>
      </c>
    </row>
    <row r="5" spans="1:101">
      <c r="A5" s="1" t="s">
        <v>19</v>
      </c>
      <c r="B5" s="1" t="s">
        <v>20</v>
      </c>
      <c r="C5" s="1">
        <v>120.10943</v>
      </c>
      <c r="D5" s="1">
        <v>31.59215</v>
      </c>
      <c r="E5" s="4">
        <v>0.1</v>
      </c>
      <c r="F5" s="5">
        <v>82207</v>
      </c>
      <c r="G5" s="5">
        <v>178601</v>
      </c>
      <c r="H5" s="5">
        <v>65136</v>
      </c>
      <c r="I5" s="5">
        <v>325944</v>
      </c>
      <c r="J5" s="5">
        <v>825</v>
      </c>
      <c r="K5" s="5">
        <v>801</v>
      </c>
      <c r="L5" s="5">
        <v>6989</v>
      </c>
      <c r="M5" s="5">
        <v>2975</v>
      </c>
      <c r="N5" s="5">
        <v>2649</v>
      </c>
      <c r="O5" s="5">
        <v>2932</v>
      </c>
      <c r="P5" s="5">
        <v>1813</v>
      </c>
      <c r="Q5" s="5">
        <v>1431</v>
      </c>
      <c r="R5" s="5">
        <v>986</v>
      </c>
      <c r="S5" s="5">
        <v>891</v>
      </c>
      <c r="T5" s="5">
        <v>1228</v>
      </c>
      <c r="U5" s="5">
        <v>2231</v>
      </c>
      <c r="V5" s="5">
        <v>1881</v>
      </c>
      <c r="W5" s="5">
        <v>1804</v>
      </c>
      <c r="X5" s="5">
        <v>3832</v>
      </c>
      <c r="Y5" s="5">
        <v>2902</v>
      </c>
      <c r="Z5" s="5">
        <v>4208</v>
      </c>
      <c r="AA5" s="5">
        <v>3972</v>
      </c>
      <c r="AB5" s="5">
        <v>4257</v>
      </c>
      <c r="AC5" s="5">
        <v>3518</v>
      </c>
      <c r="AD5" s="5">
        <v>3256</v>
      </c>
      <c r="AE5" s="5">
        <v>3731</v>
      </c>
      <c r="AF5" s="5">
        <v>2452</v>
      </c>
      <c r="AG5" s="5">
        <v>1880</v>
      </c>
      <c r="AH5" s="5">
        <v>2805</v>
      </c>
      <c r="AI5" s="5">
        <v>2963</v>
      </c>
      <c r="AJ5" s="5">
        <v>2243</v>
      </c>
      <c r="AK5" s="5">
        <v>3010</v>
      </c>
      <c r="AL5" s="5">
        <v>4051</v>
      </c>
      <c r="AM5" s="5">
        <v>3674</v>
      </c>
      <c r="AN5" s="5">
        <v>3836.58</v>
      </c>
      <c r="AO5" s="5">
        <v>3295.38</v>
      </c>
      <c r="AP5" s="5">
        <v>3459.72</v>
      </c>
      <c r="AQ5" s="5">
        <v>3984.42</v>
      </c>
      <c r="AR5" s="5">
        <v>4177.8</v>
      </c>
      <c r="AS5" s="5">
        <v>3798.96</v>
      </c>
      <c r="AT5" s="5">
        <v>3694.02</v>
      </c>
      <c r="AU5" s="5">
        <v>3886.52</v>
      </c>
      <c r="AV5" s="5">
        <v>7511.68</v>
      </c>
      <c r="AW5" s="5">
        <v>6740.8</v>
      </c>
      <c r="AX5" s="5">
        <v>6291.78</v>
      </c>
      <c r="AY5" s="5">
        <v>7755</v>
      </c>
      <c r="AZ5" s="5">
        <v>7730.58</v>
      </c>
      <c r="BA5" s="5">
        <v>6508.26</v>
      </c>
      <c r="BB5" s="5">
        <v>6545.44</v>
      </c>
      <c r="BC5" s="5">
        <v>7103.58</v>
      </c>
      <c r="BD5" s="5">
        <v>6100.38</v>
      </c>
      <c r="BE5" s="5">
        <v>6982.14</v>
      </c>
      <c r="BF5" s="5">
        <v>6258.78</v>
      </c>
      <c r="BG5" s="5">
        <v>7522.24</v>
      </c>
      <c r="BH5" s="5">
        <v>6518.38</v>
      </c>
      <c r="BI5" s="5">
        <v>5212.02</v>
      </c>
      <c r="BJ5" s="5">
        <v>5638.38</v>
      </c>
      <c r="BK5" s="5">
        <v>9714.1</v>
      </c>
      <c r="BL5" s="5">
        <v>7949.48</v>
      </c>
      <c r="BM5" s="5">
        <v>4935.04</v>
      </c>
      <c r="BN5" s="5">
        <v>6381.98</v>
      </c>
      <c r="BO5" s="5">
        <v>4014.56</v>
      </c>
      <c r="BP5" s="5">
        <v>4097.06</v>
      </c>
      <c r="BQ5" s="5">
        <v>3854.4</v>
      </c>
      <c r="BR5" s="5">
        <v>7101.6</v>
      </c>
      <c r="BS5" s="5">
        <v>5347.1</v>
      </c>
      <c r="BT5" s="5">
        <v>5304.2</v>
      </c>
      <c r="BU5" s="5">
        <v>4095.3</v>
      </c>
      <c r="BV5" s="5">
        <v>2427.7</v>
      </c>
      <c r="BW5" s="5">
        <v>2745.16</v>
      </c>
      <c r="BX5" s="5">
        <v>3045.9</v>
      </c>
      <c r="BY5" s="5">
        <v>3712.06</v>
      </c>
      <c r="BZ5" s="5">
        <v>3128.84</v>
      </c>
      <c r="CA5" s="5">
        <v>2725.8</v>
      </c>
      <c r="CB5" s="5">
        <v>2768.26</v>
      </c>
      <c r="CC5" s="5">
        <v>2837.56</v>
      </c>
      <c r="CD5" s="5">
        <v>3054.26</v>
      </c>
      <c r="CE5" s="5">
        <v>3520</v>
      </c>
      <c r="CF5" s="5">
        <v>1970.1</v>
      </c>
      <c r="CG5" s="5">
        <v>1716.88</v>
      </c>
      <c r="CH5" s="5">
        <v>2015.64</v>
      </c>
      <c r="CI5" s="5">
        <v>1704.78</v>
      </c>
      <c r="CJ5" s="5">
        <v>2015.64</v>
      </c>
      <c r="CK5" s="5">
        <v>1437.48</v>
      </c>
      <c r="CL5" s="5">
        <v>1530.54</v>
      </c>
      <c r="CM5" s="5">
        <v>1372.14</v>
      </c>
      <c r="CN5" s="5">
        <v>1354.32</v>
      </c>
      <c r="CO5" s="5">
        <v>1158.3</v>
      </c>
      <c r="CP5" s="5">
        <v>1136.52</v>
      </c>
      <c r="CQ5" s="5">
        <v>358.38</v>
      </c>
      <c r="CR5" s="5">
        <v>766.26</v>
      </c>
      <c r="CS5" s="5">
        <v>384.12</v>
      </c>
      <c r="CT5" s="5">
        <v>273.24</v>
      </c>
      <c r="CU5" s="5">
        <v>481.14</v>
      </c>
      <c r="CV5" s="5">
        <v>397.98</v>
      </c>
      <c r="CW5" s="5">
        <v>350.46</v>
      </c>
    </row>
    <row r="6" spans="1:101">
      <c r="A6" s="1" t="s">
        <v>21</v>
      </c>
      <c r="B6" s="1" t="s">
        <v>22</v>
      </c>
      <c r="C6" s="1">
        <v>120.041948</v>
      </c>
      <c r="D6" s="1">
        <v>31.384936</v>
      </c>
      <c r="E6" s="4">
        <v>0.3</v>
      </c>
      <c r="F6" s="5">
        <v>246622</v>
      </c>
      <c r="G6" s="5">
        <v>535803</v>
      </c>
      <c r="H6" s="5">
        <v>195408</v>
      </c>
      <c r="I6" s="5">
        <v>977834</v>
      </c>
      <c r="J6" s="5">
        <v>2476</v>
      </c>
      <c r="K6" s="5">
        <v>2405</v>
      </c>
      <c r="L6" s="5">
        <v>20968</v>
      </c>
      <c r="M6" s="5">
        <v>8927</v>
      </c>
      <c r="N6" s="5">
        <v>7947</v>
      </c>
      <c r="O6" s="5">
        <v>8797</v>
      </c>
      <c r="P6" s="5">
        <v>5441</v>
      </c>
      <c r="Q6" s="5">
        <v>4293</v>
      </c>
      <c r="R6" s="5">
        <v>2960</v>
      </c>
      <c r="S6" s="5">
        <v>2674</v>
      </c>
      <c r="T6" s="5">
        <v>3686</v>
      </c>
      <c r="U6" s="5">
        <v>6693</v>
      </c>
      <c r="V6" s="5">
        <v>5644</v>
      </c>
      <c r="W6" s="5">
        <v>5414</v>
      </c>
      <c r="X6" s="5">
        <v>11498</v>
      </c>
      <c r="Y6" s="5">
        <v>8708</v>
      </c>
      <c r="Z6" s="5">
        <v>12624</v>
      </c>
      <c r="AA6" s="5">
        <v>11918</v>
      </c>
      <c r="AB6" s="5">
        <v>12771</v>
      </c>
      <c r="AC6" s="5">
        <v>10556</v>
      </c>
      <c r="AD6" s="5">
        <v>9770</v>
      </c>
      <c r="AE6" s="5">
        <v>11195</v>
      </c>
      <c r="AF6" s="5">
        <v>7356</v>
      </c>
      <c r="AG6" s="5">
        <v>5641</v>
      </c>
      <c r="AH6" s="5">
        <v>8417</v>
      </c>
      <c r="AI6" s="5">
        <v>8890</v>
      </c>
      <c r="AJ6" s="5">
        <v>6730</v>
      </c>
      <c r="AK6" s="5">
        <v>9032</v>
      </c>
      <c r="AL6" s="5">
        <v>12155</v>
      </c>
      <c r="AM6" s="5">
        <v>11023</v>
      </c>
      <c r="AN6" s="5">
        <v>11509.74</v>
      </c>
      <c r="AO6" s="5">
        <v>9886.14</v>
      </c>
      <c r="AP6" s="5">
        <v>10379.16</v>
      </c>
      <c r="AQ6" s="5">
        <v>11953.26</v>
      </c>
      <c r="AR6" s="5">
        <v>12533.4</v>
      </c>
      <c r="AS6" s="5">
        <v>11396.88</v>
      </c>
      <c r="AT6" s="5">
        <v>11082.06</v>
      </c>
      <c r="AU6" s="5">
        <v>11659.56</v>
      </c>
      <c r="AV6" s="5">
        <v>22535.04</v>
      </c>
      <c r="AW6" s="5">
        <v>20222.4</v>
      </c>
      <c r="AX6" s="5">
        <v>18875.34</v>
      </c>
      <c r="AY6" s="5">
        <v>23265</v>
      </c>
      <c r="AZ6" s="5">
        <v>23191.74</v>
      </c>
      <c r="BA6" s="5">
        <v>19524.78</v>
      </c>
      <c r="BB6" s="5">
        <v>19636.32</v>
      </c>
      <c r="BC6" s="5">
        <v>21310.74</v>
      </c>
      <c r="BD6" s="5">
        <v>18301.14</v>
      </c>
      <c r="BE6" s="5">
        <v>20946.42</v>
      </c>
      <c r="BF6" s="5">
        <v>18776.34</v>
      </c>
      <c r="BG6" s="5">
        <v>22566.72</v>
      </c>
      <c r="BH6" s="5">
        <v>19555.14</v>
      </c>
      <c r="BI6" s="5">
        <v>15636.06</v>
      </c>
      <c r="BJ6" s="5">
        <v>16915.14</v>
      </c>
      <c r="BK6" s="5">
        <v>29142.3</v>
      </c>
      <c r="BL6" s="5">
        <v>23848.44</v>
      </c>
      <c r="BM6" s="5">
        <v>14805.12</v>
      </c>
      <c r="BN6" s="5">
        <v>19145.94</v>
      </c>
      <c r="BO6" s="5">
        <v>12043.68</v>
      </c>
      <c r="BP6" s="5">
        <v>12291.18</v>
      </c>
      <c r="BQ6" s="5">
        <v>11563.2</v>
      </c>
      <c r="BR6" s="5">
        <v>21304.8</v>
      </c>
      <c r="BS6" s="5">
        <v>16041.3</v>
      </c>
      <c r="BT6" s="5">
        <v>15912.6</v>
      </c>
      <c r="BU6" s="5">
        <v>12285.9</v>
      </c>
      <c r="BV6" s="5">
        <v>7283.1</v>
      </c>
      <c r="BW6" s="5">
        <v>8235.48</v>
      </c>
      <c r="BX6" s="5">
        <v>9137.7</v>
      </c>
      <c r="BY6" s="5">
        <v>11136.18</v>
      </c>
      <c r="BZ6" s="5">
        <v>9386.52</v>
      </c>
      <c r="CA6" s="5">
        <v>8177.4</v>
      </c>
      <c r="CB6" s="5">
        <v>8304.78</v>
      </c>
      <c r="CC6" s="5">
        <v>8512.68</v>
      </c>
      <c r="CD6" s="5">
        <v>9162.78</v>
      </c>
      <c r="CE6" s="5">
        <v>10560</v>
      </c>
      <c r="CF6" s="5">
        <v>5910.3</v>
      </c>
      <c r="CG6" s="5">
        <v>5150.64</v>
      </c>
      <c r="CH6" s="5">
        <v>6046.92</v>
      </c>
      <c r="CI6" s="5">
        <v>5114.34</v>
      </c>
      <c r="CJ6" s="5">
        <v>6046.92</v>
      </c>
      <c r="CK6" s="5">
        <v>4312.44</v>
      </c>
      <c r="CL6" s="5">
        <v>4591.62</v>
      </c>
      <c r="CM6" s="5">
        <v>4116.42</v>
      </c>
      <c r="CN6" s="5">
        <v>4062.96</v>
      </c>
      <c r="CO6" s="5">
        <v>3474.9</v>
      </c>
      <c r="CP6" s="5">
        <v>3409.56</v>
      </c>
      <c r="CQ6" s="5">
        <v>1075.14</v>
      </c>
      <c r="CR6" s="5">
        <v>2298.78</v>
      </c>
      <c r="CS6" s="5">
        <v>1152.36</v>
      </c>
      <c r="CT6" s="5">
        <v>819.72</v>
      </c>
      <c r="CU6" s="5">
        <v>1443.42</v>
      </c>
      <c r="CV6" s="5">
        <v>1193.94</v>
      </c>
      <c r="CW6" s="5">
        <v>1051.38</v>
      </c>
    </row>
    <row r="7" spans="1:101">
      <c r="A7" s="1" t="s">
        <v>23</v>
      </c>
      <c r="B7" s="1" t="s">
        <v>24</v>
      </c>
      <c r="C7" s="1">
        <v>120.050362</v>
      </c>
      <c r="D7" s="1">
        <v>31.523529</v>
      </c>
      <c r="E7" s="4">
        <v>0.1</v>
      </c>
      <c r="F7" s="5">
        <v>82207</v>
      </c>
      <c r="G7" s="5">
        <v>178601</v>
      </c>
      <c r="H7" s="5">
        <v>65136</v>
      </c>
      <c r="I7" s="5">
        <v>325944</v>
      </c>
      <c r="J7" s="5">
        <v>825</v>
      </c>
      <c r="K7" s="5">
        <v>801</v>
      </c>
      <c r="L7" s="5">
        <v>6989</v>
      </c>
      <c r="M7" s="5">
        <v>2975</v>
      </c>
      <c r="N7" s="5">
        <v>2649</v>
      </c>
      <c r="O7" s="5">
        <v>2932</v>
      </c>
      <c r="P7" s="5">
        <v>1813</v>
      </c>
      <c r="Q7" s="5">
        <v>1431</v>
      </c>
      <c r="R7" s="5">
        <v>986</v>
      </c>
      <c r="S7" s="5">
        <v>891</v>
      </c>
      <c r="T7" s="5">
        <v>1228</v>
      </c>
      <c r="U7" s="5">
        <v>2231</v>
      </c>
      <c r="V7" s="5">
        <v>1881</v>
      </c>
      <c r="W7" s="5">
        <v>1804</v>
      </c>
      <c r="X7" s="5">
        <v>3832</v>
      </c>
      <c r="Y7" s="5">
        <v>2902</v>
      </c>
      <c r="Z7" s="5">
        <v>4208</v>
      </c>
      <c r="AA7" s="5">
        <v>3972</v>
      </c>
      <c r="AB7" s="5">
        <v>4257</v>
      </c>
      <c r="AC7" s="5">
        <v>3518</v>
      </c>
      <c r="AD7" s="5">
        <v>3256</v>
      </c>
      <c r="AE7" s="5">
        <v>3731</v>
      </c>
      <c r="AF7" s="5">
        <v>2452</v>
      </c>
      <c r="AG7" s="5">
        <v>1880</v>
      </c>
      <c r="AH7" s="5">
        <v>2805</v>
      </c>
      <c r="AI7" s="5">
        <v>2963</v>
      </c>
      <c r="AJ7" s="5">
        <v>2243</v>
      </c>
      <c r="AK7" s="5">
        <v>3010</v>
      </c>
      <c r="AL7" s="5">
        <v>4051</v>
      </c>
      <c r="AM7" s="5">
        <v>3674</v>
      </c>
      <c r="AN7" s="5">
        <v>3836.58</v>
      </c>
      <c r="AO7" s="5">
        <v>3295.38</v>
      </c>
      <c r="AP7" s="5">
        <v>3459.72</v>
      </c>
      <c r="AQ7" s="5">
        <v>3984.42</v>
      </c>
      <c r="AR7" s="5">
        <v>4177.8</v>
      </c>
      <c r="AS7" s="5">
        <v>3798.96</v>
      </c>
      <c r="AT7" s="5">
        <v>3694.02</v>
      </c>
      <c r="AU7" s="5">
        <v>3886.52</v>
      </c>
      <c r="AV7" s="5">
        <v>7511.68</v>
      </c>
      <c r="AW7" s="5">
        <v>6740.8</v>
      </c>
      <c r="AX7" s="5">
        <v>6291.78</v>
      </c>
      <c r="AY7" s="5">
        <v>7755</v>
      </c>
      <c r="AZ7" s="5">
        <v>7730.58</v>
      </c>
      <c r="BA7" s="5">
        <v>6508.26</v>
      </c>
      <c r="BB7" s="5">
        <v>6545.44</v>
      </c>
      <c r="BC7" s="5">
        <v>7103.58</v>
      </c>
      <c r="BD7" s="5">
        <v>6100.38</v>
      </c>
      <c r="BE7" s="5">
        <v>6982.14</v>
      </c>
      <c r="BF7" s="5">
        <v>6258.78</v>
      </c>
      <c r="BG7" s="5">
        <v>7522.24</v>
      </c>
      <c r="BH7" s="5">
        <v>6518.38</v>
      </c>
      <c r="BI7" s="5">
        <v>5212.02</v>
      </c>
      <c r="BJ7" s="5">
        <v>5638.38</v>
      </c>
      <c r="BK7" s="5">
        <v>9714.1</v>
      </c>
      <c r="BL7" s="5">
        <v>7949.48</v>
      </c>
      <c r="BM7" s="5">
        <v>4935.04</v>
      </c>
      <c r="BN7" s="5">
        <v>6381.98</v>
      </c>
      <c r="BO7" s="5">
        <v>4014.56</v>
      </c>
      <c r="BP7" s="5">
        <v>4097.06</v>
      </c>
      <c r="BQ7" s="5">
        <v>3854.4</v>
      </c>
      <c r="BR7" s="5">
        <v>7101.6</v>
      </c>
      <c r="BS7" s="5">
        <v>5347.1</v>
      </c>
      <c r="BT7" s="5">
        <v>5304.2</v>
      </c>
      <c r="BU7" s="5">
        <v>4095.3</v>
      </c>
      <c r="BV7" s="5">
        <v>2427.7</v>
      </c>
      <c r="BW7" s="5">
        <v>2745.16</v>
      </c>
      <c r="BX7" s="5">
        <v>3045.9</v>
      </c>
      <c r="BY7" s="5">
        <v>3712.06</v>
      </c>
      <c r="BZ7" s="5">
        <v>3128.84</v>
      </c>
      <c r="CA7" s="5">
        <v>2725.8</v>
      </c>
      <c r="CB7" s="5">
        <v>2768.26</v>
      </c>
      <c r="CC7" s="5">
        <v>2837.56</v>
      </c>
      <c r="CD7" s="5">
        <v>3054.26</v>
      </c>
      <c r="CE7" s="5">
        <v>3520</v>
      </c>
      <c r="CF7" s="5">
        <v>1970.1</v>
      </c>
      <c r="CG7" s="5">
        <v>1716.88</v>
      </c>
      <c r="CH7" s="5">
        <v>2015.64</v>
      </c>
      <c r="CI7" s="5">
        <v>1704.78</v>
      </c>
      <c r="CJ7" s="5">
        <v>2015.64</v>
      </c>
      <c r="CK7" s="5">
        <v>1437.48</v>
      </c>
      <c r="CL7" s="5">
        <v>1530.54</v>
      </c>
      <c r="CM7" s="5">
        <v>1372.14</v>
      </c>
      <c r="CN7" s="5">
        <v>1354.32</v>
      </c>
      <c r="CO7" s="5">
        <v>1158.3</v>
      </c>
      <c r="CP7" s="5">
        <v>1136.52</v>
      </c>
      <c r="CQ7" s="5">
        <v>358.38</v>
      </c>
      <c r="CR7" s="5">
        <v>766.26</v>
      </c>
      <c r="CS7" s="5">
        <v>384.12</v>
      </c>
      <c r="CT7" s="5">
        <v>273.24</v>
      </c>
      <c r="CU7" s="5">
        <v>481.14</v>
      </c>
      <c r="CV7" s="5">
        <v>397.98</v>
      </c>
      <c r="CW7" s="5">
        <v>350.46</v>
      </c>
    </row>
    <row r="8" spans="1:101">
      <c r="A8" s="1"/>
      <c r="B8" s="1"/>
      <c r="C8" s="1"/>
      <c r="D8" s="1"/>
      <c r="E8" s="1" t="s">
        <v>25</v>
      </c>
      <c r="F8" s="5">
        <f>SUM(F3:F7)</f>
        <v>822073</v>
      </c>
      <c r="G8" s="5">
        <f t="shared" ref="G8:BR8" si="0">SUM(G3:G7)</f>
        <v>1786009</v>
      </c>
      <c r="H8" s="5">
        <f t="shared" si="0"/>
        <v>651360</v>
      </c>
      <c r="I8" s="5">
        <f t="shared" si="0"/>
        <v>3259445</v>
      </c>
      <c r="J8" s="5">
        <f t="shared" si="0"/>
        <v>8253</v>
      </c>
      <c r="K8" s="5">
        <f t="shared" si="0"/>
        <v>8015</v>
      </c>
      <c r="L8" s="5">
        <f t="shared" si="0"/>
        <v>69892</v>
      </c>
      <c r="M8" s="5">
        <f t="shared" si="0"/>
        <v>29755</v>
      </c>
      <c r="N8" s="5">
        <f t="shared" si="0"/>
        <v>26490</v>
      </c>
      <c r="O8" s="5">
        <f t="shared" si="0"/>
        <v>29322</v>
      </c>
      <c r="P8" s="5">
        <f t="shared" si="0"/>
        <v>18134</v>
      </c>
      <c r="Q8" s="5">
        <f t="shared" si="0"/>
        <v>14310</v>
      </c>
      <c r="R8" s="5">
        <f t="shared" si="0"/>
        <v>9865</v>
      </c>
      <c r="S8" s="5">
        <f t="shared" si="0"/>
        <v>8913</v>
      </c>
      <c r="T8" s="5">
        <f t="shared" si="0"/>
        <v>12286</v>
      </c>
      <c r="U8" s="5">
        <f t="shared" si="0"/>
        <v>22310</v>
      </c>
      <c r="V8" s="5">
        <f t="shared" si="0"/>
        <v>18813</v>
      </c>
      <c r="W8" s="5">
        <f t="shared" si="0"/>
        <v>18046</v>
      </c>
      <c r="X8" s="5">
        <f t="shared" si="0"/>
        <v>38325</v>
      </c>
      <c r="Y8" s="5">
        <f t="shared" si="0"/>
        <v>29025</v>
      </c>
      <c r="Z8" s="5">
        <f t="shared" si="0"/>
        <v>42080</v>
      </c>
      <c r="AA8" s="5">
        <f t="shared" si="0"/>
        <v>39725</v>
      </c>
      <c r="AB8" s="5">
        <f t="shared" si="0"/>
        <v>42569</v>
      </c>
      <c r="AC8" s="5">
        <f t="shared" si="0"/>
        <v>35186</v>
      </c>
      <c r="AD8" s="5">
        <f t="shared" si="0"/>
        <v>32566</v>
      </c>
      <c r="AE8" s="5">
        <f t="shared" si="0"/>
        <v>37315</v>
      </c>
      <c r="AF8" s="5">
        <f t="shared" si="0"/>
        <v>24520</v>
      </c>
      <c r="AG8" s="5">
        <f t="shared" si="0"/>
        <v>18802</v>
      </c>
      <c r="AH8" s="5">
        <f t="shared" si="0"/>
        <v>28055</v>
      </c>
      <c r="AI8" s="5">
        <f t="shared" si="0"/>
        <v>29633</v>
      </c>
      <c r="AJ8" s="5">
        <f t="shared" si="0"/>
        <v>22432</v>
      </c>
      <c r="AK8" s="5">
        <f t="shared" si="0"/>
        <v>30105</v>
      </c>
      <c r="AL8" s="5">
        <f t="shared" si="0"/>
        <v>40515</v>
      </c>
      <c r="AM8" s="5">
        <f t="shared" si="0"/>
        <v>36742</v>
      </c>
      <c r="AN8" s="5">
        <f t="shared" si="0"/>
        <v>38365.8</v>
      </c>
      <c r="AO8" s="5">
        <f t="shared" si="0"/>
        <v>32953.8</v>
      </c>
      <c r="AP8" s="5">
        <f t="shared" si="0"/>
        <v>34597.2</v>
      </c>
      <c r="AQ8" s="5">
        <f t="shared" si="0"/>
        <v>39844.2</v>
      </c>
      <c r="AR8" s="5">
        <f t="shared" si="0"/>
        <v>41778</v>
      </c>
      <c r="AS8" s="5">
        <f t="shared" si="0"/>
        <v>37989.6</v>
      </c>
      <c r="AT8" s="5">
        <f t="shared" si="0"/>
        <v>36940.2</v>
      </c>
      <c r="AU8" s="5">
        <f t="shared" si="0"/>
        <v>38865.2</v>
      </c>
      <c r="AV8" s="5">
        <f t="shared" si="0"/>
        <v>75116.8</v>
      </c>
      <c r="AW8" s="5">
        <f t="shared" si="0"/>
        <v>67408</v>
      </c>
      <c r="AX8" s="5">
        <f t="shared" si="0"/>
        <v>62917.8</v>
      </c>
      <c r="AY8" s="5">
        <f t="shared" si="0"/>
        <v>77550</v>
      </c>
      <c r="AZ8" s="5">
        <f t="shared" si="0"/>
        <v>77305.8</v>
      </c>
      <c r="BA8" s="5">
        <f t="shared" si="0"/>
        <v>65082.6</v>
      </c>
      <c r="BB8" s="5">
        <f t="shared" si="0"/>
        <v>65454.4</v>
      </c>
      <c r="BC8" s="5">
        <f t="shared" si="0"/>
        <v>71035.8</v>
      </c>
      <c r="BD8" s="5">
        <f t="shared" si="0"/>
        <v>61003.8</v>
      </c>
      <c r="BE8" s="5">
        <f t="shared" si="0"/>
        <v>69821.4</v>
      </c>
      <c r="BF8" s="5">
        <f t="shared" si="0"/>
        <v>62587.8</v>
      </c>
      <c r="BG8" s="5">
        <f t="shared" si="0"/>
        <v>75222.4</v>
      </c>
      <c r="BH8" s="5">
        <f t="shared" si="0"/>
        <v>65183.8</v>
      </c>
      <c r="BI8" s="5">
        <f t="shared" si="0"/>
        <v>52120.2</v>
      </c>
      <c r="BJ8" s="5">
        <f t="shared" si="0"/>
        <v>56383.8</v>
      </c>
      <c r="BK8" s="5">
        <f t="shared" si="0"/>
        <v>97141</v>
      </c>
      <c r="BL8" s="5">
        <f t="shared" si="0"/>
        <v>79494.8</v>
      </c>
      <c r="BM8" s="5">
        <f t="shared" si="0"/>
        <v>49350.4</v>
      </c>
      <c r="BN8" s="5">
        <f t="shared" si="0"/>
        <v>63819.8</v>
      </c>
      <c r="BO8" s="5">
        <f t="shared" si="0"/>
        <v>40145.6</v>
      </c>
      <c r="BP8" s="5">
        <f t="shared" si="0"/>
        <v>40970.6</v>
      </c>
      <c r="BQ8" s="5">
        <f t="shared" si="0"/>
        <v>38544</v>
      </c>
      <c r="BR8" s="5">
        <f t="shared" si="0"/>
        <v>71016</v>
      </c>
      <c r="BS8" s="5">
        <f t="shared" ref="BS8:CW8" si="1">SUM(BS3:BS7)</f>
        <v>53471</v>
      </c>
      <c r="BT8" s="5">
        <f t="shared" si="1"/>
        <v>53042</v>
      </c>
      <c r="BU8" s="5">
        <f t="shared" si="1"/>
        <v>40953</v>
      </c>
      <c r="BV8" s="5">
        <f t="shared" si="1"/>
        <v>24277</v>
      </c>
      <c r="BW8" s="5">
        <f t="shared" si="1"/>
        <v>27451.6</v>
      </c>
      <c r="BX8" s="5">
        <f t="shared" si="1"/>
        <v>30459</v>
      </c>
      <c r="BY8" s="5">
        <f t="shared" si="1"/>
        <v>37120.6</v>
      </c>
      <c r="BZ8" s="5">
        <f t="shared" si="1"/>
        <v>31288.4</v>
      </c>
      <c r="CA8" s="5">
        <f t="shared" si="1"/>
        <v>27258</v>
      </c>
      <c r="CB8" s="5">
        <f t="shared" si="1"/>
        <v>27682.6</v>
      </c>
      <c r="CC8" s="5">
        <f t="shared" si="1"/>
        <v>28375.6</v>
      </c>
      <c r="CD8" s="5">
        <f t="shared" si="1"/>
        <v>30542.6</v>
      </c>
      <c r="CE8" s="5">
        <f t="shared" si="1"/>
        <v>35200</v>
      </c>
      <c r="CF8" s="5">
        <f t="shared" si="1"/>
        <v>19701</v>
      </c>
      <c r="CG8" s="5">
        <f t="shared" si="1"/>
        <v>17168.8</v>
      </c>
      <c r="CH8" s="5">
        <f t="shared" si="1"/>
        <v>20156.4</v>
      </c>
      <c r="CI8" s="5">
        <f t="shared" si="1"/>
        <v>17047.8</v>
      </c>
      <c r="CJ8" s="5">
        <f t="shared" si="1"/>
        <v>20156.4</v>
      </c>
      <c r="CK8" s="5">
        <f t="shared" si="1"/>
        <v>14374.8</v>
      </c>
      <c r="CL8" s="5">
        <f t="shared" si="1"/>
        <v>15305.4</v>
      </c>
      <c r="CM8" s="5">
        <f t="shared" si="1"/>
        <v>13721.4</v>
      </c>
      <c r="CN8" s="5">
        <f t="shared" si="1"/>
        <v>13543.2</v>
      </c>
      <c r="CO8" s="5">
        <f t="shared" si="1"/>
        <v>11583</v>
      </c>
      <c r="CP8" s="5">
        <f t="shared" si="1"/>
        <v>11365.2</v>
      </c>
      <c r="CQ8" s="5">
        <f t="shared" si="1"/>
        <v>3583.8</v>
      </c>
      <c r="CR8" s="5">
        <f t="shared" si="1"/>
        <v>7662.6</v>
      </c>
      <c r="CS8" s="5">
        <f t="shared" si="1"/>
        <v>3841.2</v>
      </c>
      <c r="CT8" s="5">
        <f t="shared" si="1"/>
        <v>2732.4</v>
      </c>
      <c r="CU8" s="5">
        <f t="shared" si="1"/>
        <v>4811.4</v>
      </c>
      <c r="CV8" s="5">
        <f t="shared" si="1"/>
        <v>3979.8</v>
      </c>
      <c r="CW8" s="5">
        <f t="shared" si="1"/>
        <v>3504.6</v>
      </c>
    </row>
  </sheetData>
  <mergeCells count="8">
    <mergeCell ref="B1:B2"/>
    <mergeCell ref="C1:C2"/>
    <mergeCell ref="D1:D2"/>
    <mergeCell ref="E1:E2"/>
    <mergeCell ref="F1:F2"/>
    <mergeCell ref="G1:G2"/>
    <mergeCell ref="H1:H2"/>
    <mergeCell ref="I1:I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果园位置信息、销售数据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笪鹏飞</dc:creator>
  <cp:lastModifiedBy>Flowers゛情调 　</cp:lastModifiedBy>
  <dcterms:created xsi:type="dcterms:W3CDTF">2015-06-05T18:19:00Z</dcterms:created>
  <dcterms:modified xsi:type="dcterms:W3CDTF">2024-06-25T06:09:30Z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CEA9BE88916B4F08AECBEA968C2062E4_12</vt:lpwstr>
  </property>
  <property fmtid="{D5CDD505-2E9C-101B-9397-08002B2CF9AE}" pid="3" name="KSOProductBuildVer">
    <vt:lpwstr>2052-12.1.0.17133</vt:lpwstr>
  </property>
</Properties>
</file>